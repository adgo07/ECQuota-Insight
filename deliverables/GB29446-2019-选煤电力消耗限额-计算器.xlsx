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807e46345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器" sheetId="1" r:id="Rae7401d9405945e5"/>
    <x:sheet xmlns:r="http://schemas.openxmlformats.org/officeDocument/2006/relationships" name="规则与来源" sheetId="2" r:id="R43cb1c3b8d4f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55555"/>
      <x:name val="Carlito"/>
    </x:font>
    <x:font>
      <x:sz val="11"/>
      <x:color rgb="FF555555"/>
      <x:name val="Carlito"/>
    </x:font>
    <x:font>
      <x:b/>
      <x:sz val="11"/>
      <x:color rgb="FF7F6000"/>
      <x:name val="Carlito"/>
    </x:font>
    <x:font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0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93a8876f44550" /><Relationship Type="http://schemas.openxmlformats.org/officeDocument/2006/relationships/theme" Target="/xl/theme/theme1.xml" Id="R211f79c3c72244a8" /><Relationship Type="http://schemas.openxmlformats.org/officeDocument/2006/relationships/sharedStrings" Target="/xl/sharedStrings.xml" Id="R422b0e13f03443fa" /><Relationship Type="http://schemas.openxmlformats.org/officeDocument/2006/relationships/worksheet" Target="/xl/worksheets/sheet1.xml" Id="Rae7401d9405945e5" /><Relationship Type="http://schemas.openxmlformats.org/officeDocument/2006/relationships/worksheet" Target="/xl/worksheets/sheet2.xml" Id="R43cb1c3b8d4f41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8" hidden="0" customWidth="1"/>
    <x:col min="3" max="3" width="3" hidden="0" customWidth="1"/>
    <x:col min="4" max="4" width="54" hidden="0" customWidth="1"/>
  </x:cols>
  <x:sheetData>
    <x:row r="1">
      <x:c r="A1" s="45"/>
      <x:c r="B1" s="45"/>
      <x:c r="C1" s="45"/>
      <x:c r="D1" s="45"/>
    </x:row>
    <x:row r="2" ht="30" customHeight="1">
      <x:c r="A2" s="48" t="str">
        <x:v>GB 29446—2019 选煤电力消耗限额计算器</x:v>
      </x:c>
      <x:c r="B2" s="48" t="str"/>
      <x:c r="C2" s="48" t="str"/>
      <x:c r="D2" s="48" t="str"/>
    </x:row>
    <x:row r="3">
      <x:c r="A3" s="49" t="str">
        <x:v>按统计期用电量、入选原煤量和附录A系数计算选煤电力单耗等级。</x:v>
      </x:c>
      <x:c r="B3" s="49" t="str"/>
      <x:c r="C3" s="49" t="str"/>
      <x:c r="D3" s="49" t="str"/>
    </x:row>
    <x:row r="4">
      <x:c r="A4" s="50" t="str">
        <x:v>计算输入</x:v>
      </x:c>
      <x:c r="B4" s="50" t="str"/>
      <x:c r="C4" s="50" t="str"/>
      <x:c r="D4" s="35" t="str">
        <x:v>录入说明</x:v>
      </x:c>
    </x:row>
    <x:row r="5">
      <x:c r="A5" s="51" t="str">
        <x:v>煤种</x:v>
      </x:c>
      <x:c r="B5" s="52"/>
      <x:c r="C5" s="53"/>
      <x:c r="D5" s="39" t="str">
        <x:v>选择炼焦煤或动力煤。</x:v>
      </x:c>
    </x:row>
    <x:row r="6">
      <x:c r="A6" s="51" t="str">
        <x:v>选煤工艺</x:v>
      </x:c>
      <x:c r="B6" s="52"/>
      <x:c r="C6" s="53"/>
      <x:c r="D6" s="39" t="str">
        <x:v>选择附录A工艺；不适用于所选煤种的组合会阻止计算。</x:v>
      </x:c>
    </x:row>
    <x:row r="7">
      <x:c r="A7" s="51" t="str">
        <x:v>统计期选煤电力消耗量 E_d（kW·h）</x:v>
      </x:c>
      <x:c r="B7" s="52"/>
      <x:c r="C7" s="53"/>
      <x:c r="D7" s="39" t="str">
        <x:v>必填，单位为kW·h，且数值必须大于0。</x:v>
      </x:c>
    </x:row>
    <x:row r="8">
      <x:c r="A8" s="51" t="str">
        <x:v>统计期入选原煤量 m（t）</x:v>
      </x:c>
      <x:c r="B8" s="52"/>
      <x:c r="C8" s="53"/>
      <x:c r="D8" s="39" t="str">
        <x:v>必填，单位为t，且数值必须大于0。</x:v>
      </x:c>
    </x:row>
    <x:row r="9">
      <x:c r="A9" s="51" t="str">
        <x:v>企业名称（可选）</x:v>
      </x:c>
      <x:c r="B9" s="52"/>
      <x:c r="C9" s="53"/>
      <x:c r="D9" s="39" t="str">
        <x:v>可选记录，不影响等级判定。</x:v>
      </x:c>
    </x:row>
    <x:row r="10">
      <x:c r="A10" s="51" t="str">
        <x:v>核算周期</x:v>
      </x:c>
      <x:c r="B10" s="52" t="str">
        <x:v>全年</x:v>
      </x:c>
      <x:c r="C10" s="53"/>
      <x:c r="D10" s="39" t="str">
        <x:v>选择全年、月份或自定义核算周期。</x:v>
      </x:c>
    </x:row>
    <x:row r="11">
      <x:c r="A11" s="51" t="str">
        <x:v>备注</x:v>
      </x:c>
      <x:c r="B11" s="52"/>
      <x:c r="C11" s="53"/>
      <x:c r="D11" s="39" t="str">
        <x:v>可选记录。</x:v>
      </x:c>
    </x:row>
    <x:row r="12">
      <x:c r="A12" s="45"/>
      <x:c r="B12" s="45"/>
      <x:c r="C12" s="45"/>
      <x:c r="D12" s="45"/>
    </x:row>
    <x:row r="13">
      <x:c r="A13" s="45"/>
      <x:c r="B13" s="45"/>
      <x:c r="C13" s="45"/>
      <x:c r="D13" s="45"/>
    </x:row>
    <x:row r="14">
      <x:c r="A14" s="40" t="str">
        <x:v>数据检查</x:v>
      </x:c>
      <x:c r="B14" s="41" t="str">
        <x:f>IF(B5="","请选择煤种",IF(B6="","请选择选煤工艺",IF(B17="","工艺与煤种不匹配或附录A未列出",IF(NOT(ISNUMBER(B7)),"E_d必须为大于0的数值",IF(SIGN(B7)&lt;&gt;1,"E_d必须为大于0的数值",IF(NOT(ISNUMBER(B8)),"m必须为大于0的数值",IF(SIGN(B8)&lt;&gt;1,"m必须为大于0的数值","可计算")))))))</x:f>
        <x:v>请选择煤种</x:v>
      </x:c>
      <x:c r="C14" s="42" t="str"/>
      <x:c r="D14" s="42" t="str"/>
    </x:row>
    <x:row r="15">
      <x:c r="A15" s="45"/>
      <x:c r="B15" s="45"/>
      <x:c r="C15" s="45"/>
      <x:c r="D15" s="45"/>
    </x:row>
    <x:row r="16">
      <x:c r="A16" s="50" t="str">
        <x:v>计算结果</x:v>
      </x:c>
      <x:c r="B16" s="50" t="str"/>
      <x:c r="C16" s="50" t="str"/>
      <x:c r="D16" s="35" t="str">
        <x:v>结果说明</x:v>
      </x:c>
    </x:row>
    <x:row r="17">
      <x:c r="A17" s="51" t="str">
        <x:v>折算系数 k（自动匹配，只读）</x:v>
      </x:c>
      <x:c r="B17" s="54" t="str">
        <x:f>IF(OR(B5="",B6=""),"",IF(SUMIFS('规则与来源'!$C$5:$C$16,'规则与来源'!$A$5:$A$16,B5,'规则与来源'!$B$5:$B$16,B6)=0,"",SUMIFS('规则与来源'!$C$5:$C$16,'规则与来源'!$A$5:$A$16,B5,'规则与来源'!$B$5:$B$16,B6)))</x:f>
      </x:c>
      <x:c r="C17" s="53"/>
      <x:c r="D17" s="39" t="str">
        <x:v>k由煤种和工艺从附录A表A.1自动匹配。</x:v>
      </x:c>
    </x:row>
    <x:row r="18">
      <x:c r="A18" s="51" t="str">
        <x:v>未折算单位电耗 E_d/m（kW·h/t）</x:v>
      </x:c>
      <x:c r="B18" s="54" t="str">
        <x:f>IF(B14&lt;&gt;"可计算","",B7/B8)</x:f>
      </x:c>
      <x:c r="C18" s="53"/>
      <x:c r="D18" s="39" t="str">
        <x:v>统计期电力消耗量除以入选原煤量。</x:v>
      </x:c>
    </x:row>
    <x:row r="19">
      <x:c r="A19" s="51" t="str">
        <x:v>折算选煤电力单耗 e_d（kW·h/t）</x:v>
      </x:c>
      <x:c r="B19" s="54" t="str">
        <x:f>IF(B14&lt;&gt;"可计算","",B7*B17/B8)</x:f>
      </x:c>
      <x:c r="C19" s="53"/>
      <x:c r="D19" s="39" t="str">
        <x:v>按 e_d = E_d × k / m 计算。</x:v>
      </x:c>
    </x:row>
    <x:row r="20">
      <x:c r="A20" s="51" t="str">
        <x:v>标准限额等级</x:v>
      </x:c>
      <x:c r="B20" s="55" t="str">
        <x:f>IF(B14&lt;&gt;"可计算","",IF(ROUND(B19,6)&lt;=ROUND(INDEX('规则与来源'!$F$5:$H$6,MATCH(B5,'规则与来源'!$E$5:$E$6,0),1),6),"1级",IF(ROUND(B19,6)&lt;=ROUND(INDEX('规则与来源'!$F$5:$H$6,MATCH(B5,'规则与来源'!$E$5:$E$6,0),2),6),"2级",IF(ROUND(B19,6)&lt;=ROUND(INDEX('规则与来源'!$F$5:$H$6,MATCH(B5,'规则与来源'!$E$5:$E$6,0),3),6),"3级","未达标"))))</x:f>
      </x:c>
      <x:c r="C20" s="53"/>
      <x:c r="D20" s="39" t="str">
        <x:v>计算值和限额均先ROUND至六位小数，再按限额判级。</x:v>
      </x:c>
    </x:row>
    <x:row r="21">
      <x:c r="A21" s="45"/>
      <x:c r="B21" s="45"/>
      <x:c r="C21" s="45"/>
      <x:c r="D21" s="45"/>
    </x:row>
    <x:row r="22">
      <x:c r="A22" s="45"/>
      <x:c r="B22" s="45"/>
      <x:c r="C22" s="45"/>
      <x:c r="D22" s="45"/>
    </x:row>
    <x:row r="23">
      <x:c r="A23" s="45"/>
      <x:c r="B23" s="45"/>
      <x:c r="C23" s="45"/>
      <x:c r="D23" s="45"/>
    </x:row>
    <x:row r="24">
      <x:c r="A24" s="45" t="str">
        <x:v>计算路径</x:v>
      </x:c>
      <x:c r="B24" s="46" t="str">
        <x:f>IF(B14&lt;&gt;"可计算","", "e_d = E_d × k / m")</x:f>
      </x:c>
      <x:c r="C24" s="45" t="str"/>
      <x:c r="D24" s="45" t="str">
        <x:v>等级与计算轨迹来自公式结果。</x:v>
      </x:c>
    </x:row>
    <x:row r="25">
      <x:c r="A25" s="45" t="str">
        <x:v>标准依据</x:v>
      </x:c>
      <x:c r="B25" s="45" t="str">
        <x:v>GB 29446—2019 第3章表1、表2；第5.2条式（1）；附录A表A.1</x:v>
      </x:c>
      <x:c r="C25" s="45"/>
      <x:c r="D25" s="45"/>
    </x:row>
    <x:row r="26">
      <x:c r="A26" s="45"/>
      <x:c r="B26" s="45"/>
      <x:c r="C26" s="45"/>
      <x:c r="D26" s="45"/>
    </x:row>
    <x:row r="27">
      <x:c r="A27" s="47" t="str">
        <x:v>输入与公式</x:v>
      </x:c>
      <x:c r="B27" s="47" t="str">
        <x:v>浅黄色单元格为输入；灰色单元格为公式结果。</x:v>
      </x:c>
      <x:c r="C27" s="45"/>
      <x:c r="D27" s="45"/>
    </x:row>
    <x:row r="28">
      <x:c r="A28" s="47" t="str">
        <x:v>保护建议</x:v>
      </x:c>
      <x:c r="B28" s="47" t="str">
        <x:v>如需防误改，请先解锁浅黄色输入单元格，再启用工作表保护。</x:v>
      </x:c>
      <x:c r="C28" s="45"/>
      <x:c r="D28" s="45"/>
    </x:row>
  </x:sheetData>
  <x:dataValidations count="4">
    <x:dataValidation type="list" sqref="B5">
      <x:formula1>"炼焦煤,动力煤"</x:formula1>
    </x:dataValidation>
    <x:dataValidation type="list" sqref="B6">
      <x:formula1>"跳汰,跳汰、浮选联合,重介,重介、浮选联合,重介、跳汰、浮选联合,干法选煤,跳汰、重介联合,附录A外工艺（需人工确认）"</x:formula1>
    </x:dataValidation>
    <x:dataValidation type="decimal" operator="greaterThan" sqref="B7:B8">
      <x:formula1>0</x:formula1>
    </x:dataValidation>
    <x:dataValidation type="list" sqref="B10">
      <x:formula1>"全年,1月,2月,3月,4月,5月,6月,7月,8月,9月,10月,11月,12月,自定义"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5" hidden="0" customWidth="1"/>
    <x:col min="4" max="4" width="34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20" hidden="0" customWidth="1"/>
    <x:col min="11" max="11" width="20" hidden="0" customWidth="1"/>
    <x:col min="12" max="12" width="30" hidden="0" customWidth="1"/>
  </x:cols>
  <x:sheetData>
    <x:row r="2" ht="30" customHeight="1">
      <x:c r="A2" s="48" t="str">
        <x:v>GB 29446—2019 规则与来源</x:v>
      </x:c>
      <x:c r="B2" s="48" t="str"/>
      <x:c r="C2" s="48" t="str"/>
      <x:c r="D2" s="48" t="str"/>
      <x:c r="E2" s="48" t="str"/>
      <x:c r="F2" s="48" t="str"/>
      <x:c r="G2" s="48" t="str"/>
      <x:c r="H2" s="48" t="str"/>
      <x:c r="I2" s="48" t="str"/>
      <x:c r="J2" s="48" t="str"/>
      <x:c r="K2" s="48" t="str"/>
      <x:c r="L2" s="48" t="str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0" t="str">
        <x:v>煤种选项</x:v>
      </x:c>
      <x:c r="K3" s="40" t="str">
        <x:v>核算周期选项</x:v>
      </x:c>
      <x:c r="L3" s="40" t="str">
        <x:v>选煤工艺选项</x:v>
      </x:c>
    </x:row>
    <x:row r="4">
      <x:c r="A4" s="50" t="str">
        <x:v>煤种</x:v>
      </x:c>
      <x:c r="B4" s="50" t="str">
        <x:v>选煤工艺</x:v>
      </x:c>
      <x:c r="C4" s="50" t="str">
        <x:v>折算系数 k</x:v>
      </x:c>
      <x:c r="D4" s="50" t="str">
        <x:v>匹配键</x:v>
      </x:c>
      <x:c r="E4" s="50" t="str">
        <x:v>煤种</x:v>
      </x:c>
      <x:c r="F4" s="50" t="str">
        <x:v>1级限值</x:v>
      </x:c>
      <x:c r="G4" s="50" t="str">
        <x:v>2级限值</x:v>
      </x:c>
      <x:c r="H4" s="50" t="str">
        <x:v>3级限值</x:v>
      </x:c>
      <x:c r="I4" s="45"/>
      <x:c r="J4" s="45" t="str">
        <x:v>炼焦煤</x:v>
      </x:c>
      <x:c r="K4" s="45" t="str">
        <x:v>全年</x:v>
      </x:c>
      <x:c r="L4" s="45" t="str">
        <x:v>跳汰</x:v>
      </x:c>
    </x:row>
    <x:row r="5">
      <x:c r="A5" s="53" t="str">
        <x:v>炼焦煤</x:v>
      </x:c>
      <x:c r="B5" s="53" t="str">
        <x:v>跳汰</x:v>
      </x:c>
      <x:c r="C5" s="53" t="n">
        <x:v>1.26</x:v>
      </x:c>
      <x:c r="D5" s="53" t="str">
        <x:v>炼焦煤|跳汰</x:v>
      </x:c>
      <x:c r="E5" s="53" t="str">
        <x:v>炼焦煤</x:v>
      </x:c>
      <x:c r="F5" s="53" t="n">
        <x:v>5</x:v>
      </x:c>
      <x:c r="G5" s="53" t="n">
        <x:v>7</x:v>
      </x:c>
      <x:c r="H5" s="53" t="n">
        <x:v>8.5</x:v>
      </x:c>
      <x:c r="I5" s="45"/>
      <x:c r="J5" s="45" t="str">
        <x:v>动力煤</x:v>
      </x:c>
      <x:c r="K5" s="45" t="str">
        <x:v>1月</x:v>
      </x:c>
      <x:c r="L5" s="45" t="str">
        <x:v>跳汰、浮选联合</x:v>
      </x:c>
    </x:row>
    <x:row r="6">
      <x:c r="A6" s="53" t="str">
        <x:v>炼焦煤</x:v>
      </x:c>
      <x:c r="B6" s="53" t="str">
        <x:v>跳汰、浮选联合</x:v>
      </x:c>
      <x:c r="C6" s="53" t="n">
        <x:v>1</x:v>
      </x:c>
      <x:c r="D6" s="53" t="str">
        <x:v>炼焦煤|跳汰、浮选联合</x:v>
      </x:c>
      <x:c r="E6" s="53" t="str">
        <x:v>动力煤</x:v>
      </x:c>
      <x:c r="F6" s="53" t="n">
        <x:v>2</x:v>
      </x:c>
      <x:c r="G6" s="53" t="n">
        <x:v>3</x:v>
      </x:c>
      <x:c r="H6" s="53" t="n">
        <x:v>4.5</x:v>
      </x:c>
      <x:c r="I6" s="45"/>
      <x:c r="J6" s="45"/>
      <x:c r="K6" s="45" t="str">
        <x:v>2月</x:v>
      </x:c>
      <x:c r="L6" s="45" t="str">
        <x:v>重介</x:v>
      </x:c>
    </x:row>
    <x:row r="7">
      <x:c r="A7" s="53" t="str">
        <x:v>炼焦煤</x:v>
      </x:c>
      <x:c r="B7" s="53" t="str">
        <x:v>重介</x:v>
      </x:c>
      <x:c r="C7" s="53" t="n">
        <x:v>1.12</x:v>
      </x:c>
      <x:c r="D7" s="53" t="str">
        <x:v>炼焦煤|重介</x:v>
      </x:c>
      <x:c r="E7" s="53"/>
      <x:c r="F7" s="53"/>
      <x:c r="G7" s="53"/>
      <x:c r="H7" s="53"/>
      <x:c r="I7" s="45"/>
      <x:c r="J7" s="45"/>
      <x:c r="K7" s="45" t="str">
        <x:v>3月</x:v>
      </x:c>
      <x:c r="L7" s="45" t="str">
        <x:v>重介、浮选联合</x:v>
      </x:c>
    </x:row>
    <x:row r="8">
      <x:c r="A8" s="53" t="str">
        <x:v>炼焦煤</x:v>
      </x:c>
      <x:c r="B8" s="53" t="str">
        <x:v>重介、浮选联合</x:v>
      </x:c>
      <x:c r="C8" s="53" t="n">
        <x:v>0.83</x:v>
      </x:c>
      <x:c r="D8" s="53" t="str">
        <x:v>炼焦煤|重介、浮选联合</x:v>
      </x:c>
      <x:c r="E8" s="53"/>
      <x:c r="F8" s="53"/>
      <x:c r="G8" s="53"/>
      <x:c r="H8" s="53"/>
      <x:c r="I8" s="45"/>
      <x:c r="J8" s="45"/>
      <x:c r="K8" s="45" t="str">
        <x:v>4月</x:v>
      </x:c>
      <x:c r="L8" s="45" t="str">
        <x:v>重介、跳汰、浮选联合</x:v>
      </x:c>
    </x:row>
    <x:row r="9">
      <x:c r="A9" s="53" t="str">
        <x:v>炼焦煤</x:v>
      </x:c>
      <x:c r="B9" s="53" t="str">
        <x:v>重介、跳汰、浮选联合</x:v>
      </x:c>
      <x:c r="C9" s="53" t="n">
        <x:v>0.78</x:v>
      </x:c>
      <x:c r="D9" s="53" t="str">
        <x:v>炼焦煤|重介、跳汰、浮选联合</x:v>
      </x:c>
      <x:c r="E9" s="53"/>
      <x:c r="F9" s="53"/>
      <x:c r="G9" s="53"/>
      <x:c r="H9" s="53"/>
      <x:c r="I9" s="45"/>
      <x:c r="J9" s="45"/>
      <x:c r="K9" s="45" t="str">
        <x:v>5月</x:v>
      </x:c>
      <x:c r="L9" s="45" t="str">
        <x:v>干法选煤</x:v>
      </x:c>
    </x:row>
    <x:row r="10">
      <x:c r="A10" s="53" t="str">
        <x:v>动力煤</x:v>
      </x:c>
      <x:c r="B10" s="53" t="str">
        <x:v>干法选煤</x:v>
      </x:c>
      <x:c r="C10" s="53" t="n">
        <x:v>1.04</x:v>
      </x:c>
      <x:c r="D10" s="53" t="str">
        <x:v>动力煤|干法选煤</x:v>
      </x:c>
      <x:c r="E10" s="53"/>
      <x:c r="F10" s="53"/>
      <x:c r="G10" s="53"/>
      <x:c r="H10" s="53"/>
      <x:c r="I10" s="45"/>
      <x:c r="J10" s="45"/>
      <x:c r="K10" s="45" t="str">
        <x:v>6月</x:v>
      </x:c>
      <x:c r="L10" s="45" t="str">
        <x:v>跳汰、重介联合</x:v>
      </x:c>
    </x:row>
    <x:row r="11">
      <x:c r="A11" s="53" t="str">
        <x:v>动力煤</x:v>
      </x:c>
      <x:c r="B11" s="53" t="str">
        <x:v>跳汰</x:v>
      </x:c>
      <x:c r="C11" s="53" t="n">
        <x:v>0.94</x:v>
      </x:c>
      <x:c r="D11" s="53" t="str">
        <x:v>动力煤|跳汰</x:v>
      </x:c>
      <x:c r="E11" s="53"/>
      <x:c r="F11" s="53"/>
      <x:c r="G11" s="53"/>
      <x:c r="H11" s="53"/>
      <x:c r="I11" s="45"/>
      <x:c r="J11" s="45"/>
      <x:c r="K11" s="45" t="str">
        <x:v>7月</x:v>
      </x:c>
      <x:c r="L11" s="45" t="str">
        <x:v>附录A外工艺（需人工确认）</x:v>
      </x:c>
    </x:row>
    <x:row r="12">
      <x:c r="A12" s="53" t="str">
        <x:v>动力煤</x:v>
      </x:c>
      <x:c r="B12" s="53" t="str">
        <x:v>跳汰、浮选联合</x:v>
      </x:c>
      <x:c r="C12" s="53" t="n">
        <x:v>0.8</x:v>
      </x:c>
      <x:c r="D12" s="53" t="str">
        <x:v>动力煤|跳汰、浮选联合</x:v>
      </x:c>
      <x:c r="E12" s="53"/>
      <x:c r="F12" s="53"/>
      <x:c r="G12" s="53"/>
      <x:c r="H12" s="53"/>
      <x:c r="I12" s="45"/>
      <x:c r="J12" s="45"/>
      <x:c r="K12" s="45" t="str">
        <x:v>8月</x:v>
      </x:c>
      <x:c r="L12" s="45"/>
    </x:row>
    <x:row r="13">
      <x:c r="A13" s="53" t="str">
        <x:v>动力煤</x:v>
      </x:c>
      <x:c r="B13" s="53" t="str">
        <x:v>跳汰、重介联合</x:v>
      </x:c>
      <x:c r="C13" s="53" t="n">
        <x:v>0.85</x:v>
      </x:c>
      <x:c r="D13" s="53" t="str">
        <x:v>动力煤|跳汰、重介联合</x:v>
      </x:c>
      <x:c r="E13" s="53"/>
      <x:c r="F13" s="53"/>
      <x:c r="G13" s="53"/>
      <x:c r="H13" s="53"/>
      <x:c r="I13" s="45"/>
      <x:c r="J13" s="45"/>
      <x:c r="K13" s="45" t="str">
        <x:v>9月</x:v>
      </x:c>
      <x:c r="L13" s="45"/>
    </x:row>
    <x:row r="14">
      <x:c r="A14" s="53" t="str">
        <x:v>动力煤</x:v>
      </x:c>
      <x:c r="B14" s="53" t="str">
        <x:v>重介</x:v>
      </x:c>
      <x:c r="C14" s="53" t="n">
        <x:v>0.89</x:v>
      </x:c>
      <x:c r="D14" s="53" t="str">
        <x:v>动力煤|重介</x:v>
      </x:c>
      <x:c r="E14" s="53"/>
      <x:c r="F14" s="53"/>
      <x:c r="G14" s="53"/>
      <x:c r="H14" s="53"/>
      <x:c r="I14" s="45"/>
      <x:c r="J14" s="45"/>
      <x:c r="K14" s="45" t="str">
        <x:v>10月</x:v>
      </x:c>
      <x:c r="L14" s="45"/>
    </x:row>
    <x:row r="15">
      <x:c r="A15" s="53" t="str">
        <x:v>动力煤</x:v>
      </x:c>
      <x:c r="B15" s="53" t="str">
        <x:v>重介、浮选联合</x:v>
      </x:c>
      <x:c r="C15" s="53" t="n">
        <x:v>0.76</x:v>
      </x:c>
      <x:c r="D15" s="53" t="str">
        <x:v>动力煤|重介、浮选联合</x:v>
      </x:c>
      <x:c r="E15" s="53"/>
      <x:c r="F15" s="53"/>
      <x:c r="G15" s="53"/>
      <x:c r="H15" s="53"/>
      <x:c r="I15" s="45"/>
      <x:c r="J15" s="45"/>
      <x:c r="K15" s="45" t="str">
        <x:v>11月</x:v>
      </x:c>
      <x:c r="L15" s="45"/>
    </x:row>
    <x:row r="16">
      <x:c r="A16" s="53" t="str">
        <x:v>动力煤</x:v>
      </x:c>
      <x:c r="B16" s="53" t="str">
        <x:v>重介、跳汰、浮选联合</x:v>
      </x:c>
      <x:c r="C16" s="53" t="n">
        <x:v>0.72</x:v>
      </x:c>
      <x:c r="D16" s="53" t="str">
        <x:v>动力煤|重介、跳汰、浮选联合</x:v>
      </x:c>
      <x:c r="E16" s="53"/>
      <x:c r="F16" s="53"/>
      <x:c r="G16" s="53"/>
      <x:c r="H16" s="53"/>
      <x:c r="I16" s="45"/>
      <x:c r="J16" s="45"/>
      <x:c r="K16" s="45" t="str">
        <x:v>12月</x:v>
      </x:c>
      <x:c r="L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 t="str">
        <x:v>自定义</x:v>
      </x:c>
      <x:c r="L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</x:row>
    <x:row r="19">
      <x:c r="A19" s="40" t="str">
        <x:v>标准</x:v>
      </x:c>
      <x:c r="B19" s="62" t="str">
        <x:v>GB 29446—2019《选煤电力消耗限额》</x:v>
      </x:c>
      <x:c r="C19" s="62"/>
      <x:c r="D19" s="62"/>
      <x:c r="E19" s="62"/>
      <x:c r="F19" s="62"/>
      <x:c r="G19" s="62"/>
      <x:c r="H19" s="62"/>
      <x:c r="I19" s="45"/>
      <x:c r="J19" s="45"/>
      <x:c r="K19" s="45"/>
      <x:c r="L19" s="45"/>
    </x:row>
    <x:row r="20">
      <x:c r="A20" s="40" t="str">
        <x:v>来源章节</x:v>
      </x:c>
      <x:c r="B20" s="62" t="str">
        <x:v>第3章表1、表2；第5.2条式（1）；附录A表A.1</x:v>
      </x:c>
      <x:c r="C20" s="62"/>
      <x:c r="D20" s="62"/>
      <x:c r="E20" s="62"/>
      <x:c r="F20" s="62"/>
      <x:c r="G20" s="62"/>
      <x:c r="H20" s="62"/>
      <x:c r="I20" s="45"/>
      <x:c r="J20" s="45"/>
      <x:c r="K20" s="45"/>
      <x:c r="L20" s="45"/>
    </x:row>
    <x:row r="21">
      <x:c r="A21" s="40" t="str">
        <x:v>页码</x:v>
      </x:c>
      <x:c r="B21" s="62" t="str">
        <x:v>PDF第3页（标准第1页）、第4页（标准第2页）、第5页（附录A）</x:v>
      </x:c>
      <x:c r="C21" s="62"/>
      <x:c r="D21" s="62"/>
      <x:c r="E21" s="62"/>
      <x:c r="F21" s="62"/>
      <x:c r="G21" s="62"/>
      <x:c r="H21" s="62"/>
      <x:c r="I21" s="45"/>
      <x:c r="J21" s="45"/>
      <x:c r="K21" s="45"/>
      <x:c r="L21" s="45"/>
    </x:row>
    <x:row r="22">
      <x:c r="A22" s="40" t="str">
        <x:v>源文件SHA-256</x:v>
      </x:c>
      <x:c r="B22" s="62" t="str">
        <x:v>72011768d81cc35db8e53f6470fadc3b14140b61bd4f9ee3546a3e225e9cb15d</x:v>
      </x:c>
      <x:c r="C22" s="62"/>
      <x:c r="D22" s="62"/>
      <x:c r="E22" s="62"/>
      <x:c r="F22" s="62"/>
      <x:c r="G22" s="62"/>
      <x:c r="H22" s="62"/>
      <x:c r="I22" s="45"/>
      <x:c r="J22" s="45"/>
      <x:c r="K22" s="45"/>
      <x:c r="L22" s="45"/>
    </x:row>
    <x:row r="23">
      <x:c r="A23" s="40" t="str">
        <x:v>计算规则</x:v>
      </x:c>
      <x:c r="B23" s="62" t="str">
        <x:v>e_d = E_d × k / m；计算值和限额按ROUND(..., 6)比较；超过三级限额显示“未达标”。</x:v>
      </x:c>
      <x:c r="C23" s="62"/>
      <x:c r="D23" s="62"/>
      <x:c r="E23" s="62"/>
      <x:c r="F23" s="62"/>
      <x:c r="G23" s="62"/>
      <x:c r="H23" s="62"/>
      <x:c r="I23" s="45"/>
      <x:c r="J23" s="45"/>
      <x:c r="K23" s="45"/>
      <x:c r="L23" s="45"/>
    </x:row>
  </x:sheetData>
  <x:pageMargins left="0.7" right="0.7" top="0.75" bottom="0.75" header="0.3" footer="0.3"/>
</x:worksheet>
</file>